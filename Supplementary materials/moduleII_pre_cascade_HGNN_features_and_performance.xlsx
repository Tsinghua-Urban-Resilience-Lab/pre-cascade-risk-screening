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singhua\Desktop\Paper 1-github\"/>
    </mc:Choice>
  </mc:AlternateContent>
  <bookViews>
    <workbookView windowWidth="28800" windowHeight="12255" activeTab="1"/>
  </bookViews>
  <sheets>
    <sheet name="Features" sheetId="1" r:id="rId1"/>
    <sheet name="Performance 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<sst xmlns="http://schemas.openxmlformats.org/spreadsheetml/2006/main" count="209" uniqueCount="149">
  <si>
    <t>Module II HGNN input features: 7,800-scenario experiment</t>
  </si>
  <si>
    <t>Inputs are available before realized initial component damage. Seven static and four exposure features are encoded separately on 4,894 substation nodes.</t>
  </si>
  <si>
    <t>No.</t>
  </si>
  <si>
    <t>Feature level</t>
  </si>
  <si>
    <t>Feature name</t>
  </si>
  <si>
    <t>Input status</t>
  </si>
  <si>
    <t>Brief meaning</t>
  </si>
  <si>
    <t>Node-static</t>
  </si>
  <si>
    <t>log1p_power_degree</t>
  </si>
  <si>
    <t>Active ex-ante input</t>
  </si>
  <si>
    <t>Log(1 + power-network degree) of the substation.</t>
  </si>
  <si>
    <t>log1p_incident_branch_capacity</t>
  </si>
  <si>
    <t>Log(1 + sum of ratings of incident power branches).</t>
  </si>
  <si>
    <t>mean_absolute_reactance</t>
  </si>
  <si>
    <t>Mean absolute reactance of incident power branches.</t>
  </si>
  <si>
    <t>log1p_generator_count</t>
  </si>
  <si>
    <t>Log(1 + number of associated generators).</t>
  </si>
  <si>
    <t>log1p_installed_pmax</t>
  </si>
  <si>
    <t>Log(1 + total installed generation capacity).</t>
  </si>
  <si>
    <t>log1p_gas_linked_generator_count</t>
  </si>
  <si>
    <t>Log(1 + number of associated gas-linked generators).</t>
  </si>
  <si>
    <t>log1p_linked_gas_node_count</t>
  </si>
  <si>
    <t>Log(1 + number of distinct linked gas-node identifiers).</t>
  </si>
  <si>
    <t>Node-exposure</t>
  </si>
  <si>
    <t>substation_hazard_exposure_probability</t>
  </si>
  <si>
    <t>Forecast or prescribed hazard exposure probability at the substation.</t>
  </si>
  <si>
    <t>substation_magnitude_weighted_exposure</t>
  </si>
  <si>
    <t>Substation exposure weighted by prescribed disturbance magnitude.</t>
  </si>
  <si>
    <t>linked_gas_hazard_exposure_probability</t>
  </si>
  <si>
    <t>Forecast or prescribed hazard exposure at linked gas nodes.</t>
  </si>
  <si>
    <t>linked_gas_magnitude_weighted_exposure</t>
  </si>
  <si>
    <t>Linked-gas-node exposure weighted by prescribed disturbance magnitude.</t>
  </si>
  <si>
    <t>Global scenario features</t>
  </si>
  <si>
    <t>Global</t>
  </si>
  <si>
    <t>magnitude_value</t>
  </si>
  <si>
    <t>Prescribed magnitude of the disturbance configuration.</t>
  </si>
  <si>
    <t>peak_pressure</t>
  </si>
  <si>
    <t>Peak pressure of the prescribed spatial hazard field.</t>
  </si>
  <si>
    <t>scale_major_normalized</t>
  </si>
  <si>
    <t>Normalized major-axis scale of the spatial field.</t>
  </si>
  <si>
    <t>scale_minor_normalized</t>
  </si>
  <si>
    <t>Normalized minor-axis scale of the spatial field.</t>
  </si>
  <si>
    <t>orientation_sin</t>
  </si>
  <si>
    <t>Sine of the spatial-field orientation.</t>
  </si>
  <si>
    <t>orientation_cos</t>
  </si>
  <si>
    <t>Cosine of the spatial-field orientation.</t>
  </si>
  <si>
    <t>family_component_outage</t>
  </si>
  <si>
    <t>One-hot indicator for component-outage disturbance.</t>
  </si>
  <si>
    <t>family_capacity_degradation</t>
  </si>
  <si>
    <t>One-hot indicator for capacity-degradation disturbance.</t>
  </si>
  <si>
    <t>family_load_shock</t>
  </si>
  <si>
    <t>One-hot indicator for load-shock disturbance.</t>
  </si>
  <si>
    <t>family_interdependency_disruption</t>
  </si>
  <si>
    <t>One-hot indicator for interdependency disruption.</t>
  </si>
  <si>
    <t>field_family_localized</t>
  </si>
  <si>
    <t>One-hot indicator for a localized spatial field.</t>
  </si>
  <si>
    <t>field_family_corridor</t>
  </si>
  <si>
    <t>One-hot indicator for a corridor spatial field.</t>
  </si>
  <si>
    <t>field_family_multicenter</t>
  </si>
  <si>
    <t>One-hot indicator for a multicenter spatial field.</t>
  </si>
  <si>
    <t>Module II HGNN performance: 7,800 scenarios</t>
  </si>
  <si>
    <t>Item</t>
  </si>
  <si>
    <t>Value</t>
  </si>
  <si>
    <t>Number of scenarios</t>
  </si>
  <si>
    <t>Number of graph nodes (substations)</t>
  </si>
  <si>
    <t>Node features: 7 static + 4 exposure</t>
  </si>
  <si>
    <t>Global feature dimension</t>
  </si>
  <si>
    <t>Feature mode</t>
  </si>
  <si>
    <t>Ex-ante spatial hazard exposure</t>
  </si>
  <si>
    <t>Label rule</t>
  </si>
  <si>
    <t>Severe if terminal DNS ratio ≥ 0.10</t>
  </si>
  <si>
    <t>Grouping unit</t>
  </si>
  <si>
    <t>field_id; no overlap between subsets</t>
  </si>
  <si>
    <t>Train / validation / calibration / test</t>
  </si>
  <si>
    <t>5512 / 728 / 728 / 832</t>
  </si>
  <si>
    <t>Device</t>
  </si>
  <si>
    <t>cuda</t>
  </si>
  <si>
    <t>Severe scenarios</t>
  </si>
  <si>
    <t>Nonsevere scenarios</t>
  </si>
  <si>
    <t>Overall severe prevalence</t>
  </si>
  <si>
    <t>Static node-feature dimension</t>
  </si>
  <si>
    <t>Exposure node-feature dimension</t>
  </si>
  <si>
    <t>Train / validation / calibration / test fields</t>
  </si>
  <si>
    <t>53 / 7 / 7 / 8</t>
  </si>
  <si>
    <t>Test scenarios</t>
  </si>
  <si>
    <t>Severe test scenarios</t>
  </si>
  <si>
    <t>Test severe prevalence</t>
  </si>
  <si>
    <t>Model-selection criterion</t>
  </si>
  <si>
    <t>Validation average precision</t>
  </si>
  <si>
    <t>Probability calibration</t>
  </si>
  <si>
    <t>Platt slope + intercept; calibration set only</t>
  </si>
  <si>
    <t>Warning-threshold selection</t>
  </si>
  <si>
    <t>Calibration-set macro-F1</t>
  </si>
  <si>
    <t>Training seeds</t>
  </si>
  <si>
    <t>7, 17, 27, 37, 47</t>
  </si>
  <si>
    <t>Repeated full-model runs</t>
  </si>
  <si>
    <t>Evaluation</t>
  </si>
  <si>
    <t>Held-out test set; 8 independent spatial fields</t>
  </si>
  <si>
    <t>Code version</t>
  </si>
  <si>
    <t>module2-spatial-ex-ante-hgnn-v5-7800</t>
  </si>
  <si>
    <t>Prediction time</t>
  </si>
  <si>
    <t>Before realized initial damage and secondary propagation</t>
  </si>
  <si>
    <t>Full HGNN test performance across five seeds</t>
  </si>
  <si>
    <t>Metric</t>
  </si>
  <si>
    <t>Mean</t>
  </si>
  <si>
    <t>Sample SD</t>
  </si>
  <si>
    <t>Accuracy</t>
  </si>
  <si>
    <t>Balanced accuracy</t>
  </si>
  <si>
    <t>Macro-F1</t>
  </si>
  <si>
    <t>Weighted F1</t>
  </si>
  <si>
    <t>Severe precision</t>
  </si>
  <si>
    <t>Severe recall</t>
  </si>
  <si>
    <t>Severe F1</t>
  </si>
  <si>
    <t>Nonsevere precision</t>
  </si>
  <si>
    <t>Nonsevere recall</t>
  </si>
  <si>
    <t>Nonsevere F1</t>
  </si>
  <si>
    <t>Average precision</t>
  </si>
  <si>
    <t>AUROC</t>
  </si>
  <si>
    <t>Brier score</t>
  </si>
  <si>
    <t>ECE (10 bins)</t>
  </si>
  <si>
    <t>Selected probability threshold</t>
  </si>
  <si>
    <t>Reporting convention</t>
  </si>
  <si>
    <t>Mean ± sample SD over five seeds on the same test set. Thresholded metrics use each run’s calibration-selected threshold.</t>
  </si>
  <si>
    <t>Five-model ensemble: separate test results</t>
  </si>
  <si>
    <t>Learned relation weights across five seeds</t>
  </si>
  <si>
    <t>Layer</t>
  </si>
  <si>
    <t>Relation channel</t>
  </si>
  <si>
    <t>self</t>
  </si>
  <si>
    <t>power_topology</t>
  </si>
  <si>
    <t>gas_linked_node_channel</t>
  </si>
  <si>
    <t>Gas-channel interpretation</t>
  </si>
  <si>
    <t>Gas-linked substation gate; no gas-pipeline message passing. Relation weights are learned mixing coefficients, not physical importance scores.</t>
  </si>
  <si>
    <t>Sources and scope</t>
  </si>
  <si>
    <t>Experiment</t>
  </si>
  <si>
    <t>module2_hgnn_7800_v1</t>
  </si>
  <si>
    <t>Input and split definitions</t>
  </si>
  <si>
    <t>input_and_split_audit.json; run_config.json</t>
  </si>
  <si>
    <t>Five-seed performance</t>
  </si>
  <si>
    <t>metrics_by_variant.csv; runs/full_seed*/metrics.json</t>
  </si>
  <si>
    <t>Additional class metrics</t>
  </si>
  <si>
    <t>Computed from saved run-level confusion matrices</t>
  </si>
  <si>
    <t>Ensemble performance</t>
  </si>
  <si>
    <t>ensemble_summary.json</t>
  </si>
  <si>
    <t>Relation weights</t>
  </si>
  <si>
    <t>runs/full_seed*/relation_weights.csv</t>
  </si>
  <si>
    <t>Label source</t>
  </si>
  <si>
    <t>Module-I paper_7800_gurobi_lex1e5_20260910_v2</t>
  </si>
  <si>
    <t>Scope</t>
  </si>
  <si>
    <t>Synthetic held-out fields; label robustness to solver tolerance is not established.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</si>
</sst>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rgb="FF1F4E79"/>
      <name val="Times New Roman"/>
      <charset val="134"/>
    </font>
    <font>
      <sz val="12"/>
      <color rgb="FF000000"/>
      <name val="Times New Roman"/>
      <charset val="134"/>
    </font>
    <font>
      <b/>
      <sz val="12"/>
      <color rgb="FFFFFFFF"/>
      <name val="Times New Roman"/>
      <charset val="134"/>
    </font>
    <font>
      <b/>
      <sz val="12"/>
      <color rgb="FF1F4E79"/>
      <name val="Times New Roman"/>
      <charset val="134"/>
    </font>
    <font>
      <i/>
      <sz val="11"/>
      <color rgb="FF666666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10" fontId="3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left" vertical="center"/>
    </xf>
    <xf numFmtId="180" fontId="3" fillId="0" borderId="0" xfId="0" applyNumberFormat="1" applyFont="1" applyFill="1" applyBorder="1" applyAlignment="1">
      <alignment horizontal="center" vertical="center" wrapText="1"/>
    </xf>
    <xf numFmtId="180" fontId="3" fillId="0" borderId="0" xfId="0" applyNumberFormat="1" applyFont="1" applyFill="1" applyBorder="1" applyAlignment="1">
      <alignment horizontal="right" vertical="center" wrapText="1"/>
    </xf>
    <xf numFmtId="1" fontId="3" fillId="0" borderId="0" xfId="0" applyNumberFormat="1" applyFont="1" applyFill="1" applyBorder="1" applyAlignment="1">
      <alignment horizontal="right" vertical="center" wrapText="1"/>
    </xf>
    <xf numFmtId="0" fontId="6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pane ySplit="4" topLeftCell="A5" activePane="bottomLeft" state="frozen"/>
      <selection/>
      <selection pane="bottomLeft" activeCell="A37" sqref="A37:E37"/>
    </sheetView>
  </sheetViews>
  <sheetFormatPr defaultColWidth="9" defaultRowHeight="13.85" outlineLevelCol="4"/>
  <cols>
    <col min="1" max="1" width="9" style="1" customWidth="1"/>
    <col min="2" max="2" width="20" style="1" customWidth="1"/>
    <col min="3" max="3" width="51" style="1" customWidth="1"/>
    <col min="4" max="4" width="27" style="1" customWidth="1"/>
    <col min="5" max="5" width="62" style="1" customWidth="1"/>
    <col min="6" max="16384" width="9" style="1"/>
  </cols>
  <sheetData>
    <row r="1" ht="30" customHeight="1" spans="1:5">
      <c r="A1" s="3" t="s">
        <v>0</v>
      </c>
      <c r="B1" s="3"/>
      <c r="C1" s="3"/>
      <c r="D1" s="3"/>
      <c r="E1" s="3"/>
    </row>
    <row r="2" ht="35" customHeight="1" spans="1:5">
      <c r="A2" s="14" t="s">
        <v>1</v>
      </c>
      <c r="B2" s="14"/>
      <c r="C2" s="14"/>
      <c r="D2" s="14"/>
      <c r="E2" s="14"/>
    </row>
    <row r="3" ht="26" customHeight="1" spans="1:5">
      <c r="A3" s="5"/>
      <c r="B3" s="5"/>
      <c r="C3" s="5"/>
      <c r="D3" s="5"/>
      <c r="E3" s="5"/>
    </row>
    <row r="4" ht="26" customHeight="1" spans="1:5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ht="42" customHeight="1" spans="1:5">
      <c r="A5" s="13">
        <v>1</v>
      </c>
      <c r="B5" s="5" t="s">
        <v>7</v>
      </c>
      <c r="C5" s="5" t="s">
        <v>8</v>
      </c>
      <c r="D5" s="5" t="s">
        <v>9</v>
      </c>
      <c r="E5" s="5" t="s">
        <v>10</v>
      </c>
    </row>
    <row r="6" ht="42" customHeight="1" spans="1:5">
      <c r="A6" s="13">
        <v>2</v>
      </c>
      <c r="B6" s="5" t="s">
        <v>7</v>
      </c>
      <c r="C6" s="5" t="s">
        <v>11</v>
      </c>
      <c r="D6" s="5" t="s">
        <v>9</v>
      </c>
      <c r="E6" s="5" t="s">
        <v>12</v>
      </c>
    </row>
    <row r="7" ht="42" customHeight="1" spans="1:5">
      <c r="A7" s="13">
        <v>3</v>
      </c>
      <c r="B7" s="5" t="s">
        <v>7</v>
      </c>
      <c r="C7" s="5" t="s">
        <v>13</v>
      </c>
      <c r="D7" s="5" t="s">
        <v>9</v>
      </c>
      <c r="E7" s="5" t="s">
        <v>14</v>
      </c>
    </row>
    <row r="8" ht="42" customHeight="1" spans="1:5">
      <c r="A8" s="13">
        <v>4</v>
      </c>
      <c r="B8" s="5" t="s">
        <v>7</v>
      </c>
      <c r="C8" s="5" t="s">
        <v>15</v>
      </c>
      <c r="D8" s="5" t="s">
        <v>9</v>
      </c>
      <c r="E8" s="5" t="s">
        <v>16</v>
      </c>
    </row>
    <row r="9" ht="42" customHeight="1" spans="1:5">
      <c r="A9" s="13">
        <v>5</v>
      </c>
      <c r="B9" s="5" t="s">
        <v>7</v>
      </c>
      <c r="C9" s="5" t="s">
        <v>17</v>
      </c>
      <c r="D9" s="5" t="s">
        <v>9</v>
      </c>
      <c r="E9" s="5" t="s">
        <v>18</v>
      </c>
    </row>
    <row r="10" ht="42" customHeight="1" spans="1:5">
      <c r="A10" s="13">
        <v>6</v>
      </c>
      <c r="B10" s="5" t="s">
        <v>7</v>
      </c>
      <c r="C10" s="5" t="s">
        <v>19</v>
      </c>
      <c r="D10" s="5" t="s">
        <v>9</v>
      </c>
      <c r="E10" s="5" t="s">
        <v>20</v>
      </c>
    </row>
    <row r="11" ht="42" customHeight="1" spans="1:5">
      <c r="A11" s="13">
        <v>7</v>
      </c>
      <c r="B11" s="5" t="s">
        <v>7</v>
      </c>
      <c r="C11" s="5" t="s">
        <v>21</v>
      </c>
      <c r="D11" s="5" t="s">
        <v>9</v>
      </c>
      <c r="E11" s="5" t="s">
        <v>22</v>
      </c>
    </row>
    <row r="12" ht="42" customHeight="1" spans="1:5">
      <c r="A12" s="13">
        <v>8</v>
      </c>
      <c r="B12" s="5" t="s">
        <v>23</v>
      </c>
      <c r="C12" s="5" t="s">
        <v>24</v>
      </c>
      <c r="D12" s="5" t="s">
        <v>9</v>
      </c>
      <c r="E12" s="5" t="s">
        <v>25</v>
      </c>
    </row>
    <row r="13" ht="42" customHeight="1" spans="1:5">
      <c r="A13" s="13">
        <v>9</v>
      </c>
      <c r="B13" s="5" t="s">
        <v>23</v>
      </c>
      <c r="C13" s="5" t="s">
        <v>26</v>
      </c>
      <c r="D13" s="5" t="s">
        <v>9</v>
      </c>
      <c r="E13" s="5" t="s">
        <v>27</v>
      </c>
    </row>
    <row r="14" ht="42" customHeight="1" spans="1:5">
      <c r="A14" s="13">
        <v>10</v>
      </c>
      <c r="B14" s="5" t="s">
        <v>23</v>
      </c>
      <c r="C14" s="5" t="s">
        <v>28</v>
      </c>
      <c r="D14" s="5" t="s">
        <v>9</v>
      </c>
      <c r="E14" s="5" t="s">
        <v>29</v>
      </c>
    </row>
    <row r="15" ht="42" customHeight="1" spans="1:5">
      <c r="A15" s="13">
        <v>11</v>
      </c>
      <c r="B15" s="5" t="s">
        <v>23</v>
      </c>
      <c r="C15" s="5" t="s">
        <v>30</v>
      </c>
      <c r="D15" s="5" t="s">
        <v>9</v>
      </c>
      <c r="E15" s="5" t="s">
        <v>31</v>
      </c>
    </row>
    <row r="16" ht="26" customHeight="1" spans="1:5">
      <c r="A16" s="5"/>
      <c r="B16" s="5"/>
      <c r="C16" s="5"/>
      <c r="D16" s="5"/>
      <c r="E16" s="5"/>
    </row>
    <row r="17" ht="26" customHeight="1" spans="1:5">
      <c r="A17" s="5"/>
      <c r="B17" s="5"/>
      <c r="C17" s="5"/>
      <c r="D17" s="5"/>
      <c r="E17" s="5"/>
    </row>
    <row r="18" ht="26" customHeight="1" spans="1:5">
      <c r="A18" s="10" t="s">
        <v>32</v>
      </c>
      <c r="B18" s="5"/>
      <c r="C18" s="5"/>
      <c r="D18" s="5"/>
      <c r="E18" s="5"/>
    </row>
    <row r="19" ht="26" customHeight="1" spans="1:5">
      <c r="A19" s="5"/>
      <c r="B19" s="5"/>
      <c r="C19" s="5"/>
      <c r="D19" s="5"/>
      <c r="E19" s="5"/>
    </row>
    <row r="20" ht="26" customHeight="1" spans="1:5">
      <c r="A20" s="7" t="s">
        <v>2</v>
      </c>
      <c r="B20" s="7" t="s">
        <v>3</v>
      </c>
      <c r="C20" s="7" t="s">
        <v>4</v>
      </c>
      <c r="D20" s="7" t="s">
        <v>5</v>
      </c>
      <c r="E20" s="7" t="s">
        <v>6</v>
      </c>
    </row>
    <row r="21" ht="36" customHeight="1" spans="1:5">
      <c r="A21" s="13">
        <v>1</v>
      </c>
      <c r="B21" s="5" t="s">
        <v>33</v>
      </c>
      <c r="C21" s="5" t="s">
        <v>34</v>
      </c>
      <c r="D21" s="5" t="s">
        <v>9</v>
      </c>
      <c r="E21" s="5" t="s">
        <v>35</v>
      </c>
    </row>
    <row r="22" ht="36" customHeight="1" spans="1:5">
      <c r="A22" s="13">
        <v>2</v>
      </c>
      <c r="B22" s="5" t="s">
        <v>33</v>
      </c>
      <c r="C22" s="5" t="s">
        <v>36</v>
      </c>
      <c r="D22" s="5" t="s">
        <v>9</v>
      </c>
      <c r="E22" s="5" t="s">
        <v>37</v>
      </c>
    </row>
    <row r="23" ht="36" customHeight="1" spans="1:5">
      <c r="A23" s="13">
        <v>3</v>
      </c>
      <c r="B23" s="5" t="s">
        <v>33</v>
      </c>
      <c r="C23" s="5" t="s">
        <v>38</v>
      </c>
      <c r="D23" s="5" t="s">
        <v>9</v>
      </c>
      <c r="E23" s="5" t="s">
        <v>39</v>
      </c>
    </row>
    <row r="24" ht="36" customHeight="1" spans="1:5">
      <c r="A24" s="13">
        <v>4</v>
      </c>
      <c r="B24" s="5" t="s">
        <v>33</v>
      </c>
      <c r="C24" s="5" t="s">
        <v>40</v>
      </c>
      <c r="D24" s="5" t="s">
        <v>9</v>
      </c>
      <c r="E24" s="5" t="s">
        <v>41</v>
      </c>
    </row>
    <row r="25" ht="36" customHeight="1" spans="1:5">
      <c r="A25" s="13">
        <v>5</v>
      </c>
      <c r="B25" s="5" t="s">
        <v>33</v>
      </c>
      <c r="C25" s="5" t="s">
        <v>42</v>
      </c>
      <c r="D25" s="5" t="s">
        <v>9</v>
      </c>
      <c r="E25" s="5" t="s">
        <v>43</v>
      </c>
    </row>
    <row r="26" ht="36" customHeight="1" spans="1:5">
      <c r="A26" s="13">
        <v>6</v>
      </c>
      <c r="B26" s="5" t="s">
        <v>33</v>
      </c>
      <c r="C26" s="5" t="s">
        <v>44</v>
      </c>
      <c r="D26" s="5" t="s">
        <v>9</v>
      </c>
      <c r="E26" s="5" t="s">
        <v>45</v>
      </c>
    </row>
    <row r="27" ht="36" customHeight="1" spans="1:5">
      <c r="A27" s="13">
        <v>7</v>
      </c>
      <c r="B27" s="5" t="s">
        <v>33</v>
      </c>
      <c r="C27" s="5" t="s">
        <v>46</v>
      </c>
      <c r="D27" s="5" t="s">
        <v>9</v>
      </c>
      <c r="E27" s="5" t="s">
        <v>47</v>
      </c>
    </row>
    <row r="28" ht="36" customHeight="1" spans="1:5">
      <c r="A28" s="13">
        <v>8</v>
      </c>
      <c r="B28" s="5" t="s">
        <v>33</v>
      </c>
      <c r="C28" s="5" t="s">
        <v>48</v>
      </c>
      <c r="D28" s="5" t="s">
        <v>9</v>
      </c>
      <c r="E28" s="5" t="s">
        <v>49</v>
      </c>
    </row>
    <row r="29" ht="36" customHeight="1" spans="1:5">
      <c r="A29" s="13">
        <v>9</v>
      </c>
      <c r="B29" s="5" t="s">
        <v>33</v>
      </c>
      <c r="C29" s="5" t="s">
        <v>50</v>
      </c>
      <c r="D29" s="5" t="s">
        <v>9</v>
      </c>
      <c r="E29" s="5" t="s">
        <v>51</v>
      </c>
    </row>
    <row r="30" ht="36" customHeight="1" spans="1:5">
      <c r="A30" s="13">
        <v>10</v>
      </c>
      <c r="B30" s="5" t="s">
        <v>33</v>
      </c>
      <c r="C30" s="5" t="s">
        <v>52</v>
      </c>
      <c r="D30" s="5" t="s">
        <v>9</v>
      </c>
      <c r="E30" s="5" t="s">
        <v>53</v>
      </c>
    </row>
    <row r="31" ht="36" customHeight="1" spans="1:5">
      <c r="A31" s="13">
        <v>11</v>
      </c>
      <c r="B31" s="5" t="s">
        <v>33</v>
      </c>
      <c r="C31" s="5" t="s">
        <v>54</v>
      </c>
      <c r="D31" s="5" t="s">
        <v>9</v>
      </c>
      <c r="E31" s="5" t="s">
        <v>55</v>
      </c>
    </row>
    <row r="32" ht="36" customHeight="1" spans="1:5">
      <c r="A32" s="13">
        <v>12</v>
      </c>
      <c r="B32" s="5" t="s">
        <v>33</v>
      </c>
      <c r="C32" s="5" t="s">
        <v>56</v>
      </c>
      <c r="D32" s="5" t="s">
        <v>9</v>
      </c>
      <c r="E32" s="5" t="s">
        <v>57</v>
      </c>
    </row>
    <row r="33" ht="36" customHeight="1" spans="1:5">
      <c r="A33" s="13">
        <v>13</v>
      </c>
      <c r="B33" s="5" t="s">
        <v>33</v>
      </c>
      <c r="C33" s="5" t="s">
        <v>58</v>
      </c>
      <c r="D33" s="5" t="s">
        <v>9</v>
      </c>
      <c r="E33" s="5" t="s">
        <v>59</v>
      </c>
    </row>
    <row r="34" ht="26" customHeight="1" spans="1:5">
      <c r="A34" s="5"/>
      <c r="B34" s="5"/>
      <c r="C34" s="5"/>
      <c r="D34" s="5"/>
      <c r="E34" s="5"/>
    </row>
    <row r="35" ht="26" customHeight="1" spans="1:5">
      <c r="A35" s="5"/>
      <c r="B35" s="5"/>
      <c r="C35" s="5"/>
      <c r="D35" s="5"/>
      <c r="E35" s="5"/>
    </row>
    <row r="36" ht="28" customHeight="1" spans="1:5">
      <c r="A36" s="10"/>
      <c r="B36" s="5"/>
      <c r="C36" s="5"/>
      <c r="D36" s="5"/>
      <c r="E36" s="5"/>
    </row>
    <row r="37" ht="42" customHeight="1" spans="1:5">
      <c r="A37" s="5"/>
      <c r="B37" s="5"/>
      <c r="C37" s="5"/>
      <c r="D37" s="5"/>
      <c r="E37" s="5"/>
    </row>
    <row r="38" ht="32" customHeight="1" spans="1:5">
      <c r="A38" s="5"/>
      <c r="B38" s="5"/>
      <c r="C38" s="5"/>
      <c r="D38" s="5"/>
      <c r="E38" s="5"/>
    </row>
    <row r="39" ht="26" customHeight="1" spans="1:5">
      <c r="A39" s="5"/>
      <c r="B39" s="5"/>
      <c r="C39" s="5"/>
      <c r="D39" s="5"/>
      <c r="E39" s="5"/>
    </row>
    <row r="40" ht="26" customHeight="1" spans="1:5">
      <c r="A40" s="5"/>
      <c r="B40" s="5"/>
      <c r="C40" s="5"/>
      <c r="D40" s="5"/>
      <c r="E40" s="5"/>
    </row>
    <row r="41" ht="26" customHeight="1" spans="1:5">
      <c r="A41" s="5"/>
      <c r="B41" s="5"/>
      <c r="C41" s="5"/>
      <c r="D41" s="5"/>
      <c r="E41" s="5"/>
    </row>
    <row r="42" ht="26" customHeight="1" spans="1:5">
      <c r="A42" s="5"/>
      <c r="B42" s="5"/>
      <c r="C42" s="5"/>
      <c r="D42" s="5"/>
      <c r="E42" s="5"/>
    </row>
    <row r="43" ht="26" customHeight="1" spans="1:5">
      <c r="A43" s="5"/>
      <c r="B43" s="5"/>
      <c r="C43" s="5"/>
      <c r="D43" s="5"/>
      <c r="E43" s="5"/>
    </row>
    <row r="44" ht="26" customHeight="1" spans="1:5">
      <c r="A44" s="5"/>
      <c r="B44" s="5"/>
      <c r="C44" s="5"/>
      <c r="D44" s="5"/>
      <c r="E44" s="5"/>
    </row>
    <row r="45" ht="26" customHeight="1" spans="1:5">
      <c r="A45" s="5"/>
      <c r="B45" s="5"/>
      <c r="C45" s="5"/>
      <c r="D45" s="5"/>
      <c r="E45" s="5"/>
    </row>
  </sheetData>
  <mergeCells count="4">
    <mergeCell ref="A1:E1"/>
    <mergeCell ref="A2:E2"/>
    <mergeCell ref="A37:E37"/>
    <mergeCell ref="A38:E3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tabSelected="1" workbookViewId="0">
      <pane ySplit="3" topLeftCell="A21" activePane="bottomLeft" state="frozen"/>
      <selection/>
      <selection pane="bottomLeft" activeCell="B46" sqref="B46"/>
    </sheetView>
  </sheetViews>
  <sheetFormatPr defaultColWidth="9" defaultRowHeight="13.85" outlineLevelCol="3"/>
  <cols>
    <col min="1" max="1" width="49" style="1" customWidth="1"/>
    <col min="2" max="2" width="56" style="2" customWidth="1"/>
    <col min="3" max="4" width="17" style="1" customWidth="1"/>
    <col min="5" max="16384" width="9" style="1"/>
  </cols>
  <sheetData>
    <row r="1" ht="32" customHeight="1" spans="1:4">
      <c r="A1" s="3" t="s">
        <v>60</v>
      </c>
      <c r="B1" s="4"/>
      <c r="C1" s="3"/>
      <c r="D1" s="3"/>
    </row>
    <row r="2" ht="26" customHeight="1" spans="1:4">
      <c r="A2" s="5"/>
      <c r="B2" s="6"/>
      <c r="C2" s="5"/>
      <c r="D2" s="5"/>
    </row>
    <row r="3" ht="26" customHeight="1" spans="1:4">
      <c r="A3" s="7" t="s">
        <v>61</v>
      </c>
      <c r="B3" s="7" t="s">
        <v>62</v>
      </c>
      <c r="C3" s="5"/>
      <c r="D3" s="5"/>
    </row>
    <row r="4" ht="26" customHeight="1" spans="1:4">
      <c r="A4" s="5" t="s">
        <v>63</v>
      </c>
      <c r="B4" s="8">
        <v>7800</v>
      </c>
      <c r="C4" s="5"/>
      <c r="D4" s="5"/>
    </row>
    <row r="5" ht="26" customHeight="1" spans="1:4">
      <c r="A5" s="5" t="s">
        <v>64</v>
      </c>
      <c r="B5" s="8">
        <v>4894</v>
      </c>
      <c r="C5" s="5"/>
      <c r="D5" s="5"/>
    </row>
    <row r="6" ht="26" customHeight="1" spans="1:4">
      <c r="A6" s="5" t="s">
        <v>65</v>
      </c>
      <c r="B6" s="8">
        <v>11</v>
      </c>
      <c r="C6" s="5"/>
      <c r="D6" s="5"/>
    </row>
    <row r="7" ht="26" customHeight="1" spans="1:4">
      <c r="A7" s="5" t="s">
        <v>66</v>
      </c>
      <c r="B7" s="8">
        <v>13</v>
      </c>
      <c r="C7" s="5"/>
      <c r="D7" s="5"/>
    </row>
    <row r="8" ht="26" customHeight="1" spans="1:4">
      <c r="A8" s="5" t="s">
        <v>67</v>
      </c>
      <c r="B8" s="6" t="s">
        <v>68</v>
      </c>
      <c r="C8" s="5"/>
      <c r="D8" s="5"/>
    </row>
    <row r="9" ht="26" customHeight="1" spans="1:4">
      <c r="A9" s="5" t="s">
        <v>69</v>
      </c>
      <c r="B9" s="6" t="s">
        <v>70</v>
      </c>
      <c r="C9" s="5"/>
      <c r="D9" s="5"/>
    </row>
    <row r="10" ht="26" customHeight="1" spans="1:4">
      <c r="A10" s="5" t="s">
        <v>71</v>
      </c>
      <c r="B10" s="6" t="s">
        <v>72</v>
      </c>
      <c r="C10" s="5"/>
      <c r="D10" s="5"/>
    </row>
    <row r="11" ht="26" customHeight="1" spans="1:4">
      <c r="A11" s="5" t="s">
        <v>73</v>
      </c>
      <c r="B11" s="6" t="s">
        <v>74</v>
      </c>
      <c r="C11" s="5"/>
      <c r="D11" s="5"/>
    </row>
    <row r="12" ht="26" customHeight="1" spans="1:4">
      <c r="A12" s="5" t="s">
        <v>75</v>
      </c>
      <c r="B12" s="6" t="s">
        <v>76</v>
      </c>
      <c r="C12" s="5"/>
      <c r="D12" s="5"/>
    </row>
    <row r="13" ht="26" customHeight="1" spans="1:4">
      <c r="A13" s="5" t="s">
        <v>77</v>
      </c>
      <c r="B13" s="8">
        <v>1322</v>
      </c>
      <c r="C13" s="5"/>
      <c r="D13" s="5"/>
    </row>
    <row r="14" ht="26" customHeight="1" spans="1:4">
      <c r="A14" s="5" t="s">
        <v>78</v>
      </c>
      <c r="B14" s="8">
        <v>6478</v>
      </c>
      <c r="C14" s="5"/>
      <c r="D14" s="5"/>
    </row>
    <row r="15" ht="26" customHeight="1" spans="1:4">
      <c r="A15" s="5" t="s">
        <v>79</v>
      </c>
      <c r="B15" s="9">
        <f>B13/B4</f>
        <v>0.169487179487179</v>
      </c>
      <c r="C15" s="5"/>
      <c r="D15" s="5"/>
    </row>
    <row r="16" ht="26" customHeight="1" spans="1:4">
      <c r="A16" s="5" t="s">
        <v>80</v>
      </c>
      <c r="B16" s="8">
        <v>7</v>
      </c>
      <c r="C16" s="5"/>
      <c r="D16" s="5"/>
    </row>
    <row r="17" ht="26" customHeight="1" spans="1:4">
      <c r="A17" s="5" t="s">
        <v>81</v>
      </c>
      <c r="B17" s="8">
        <v>4</v>
      </c>
      <c r="C17" s="5"/>
      <c r="D17" s="5"/>
    </row>
    <row r="18" ht="26" customHeight="1" spans="1:4">
      <c r="A18" s="5" t="s">
        <v>82</v>
      </c>
      <c r="B18" s="6" t="s">
        <v>83</v>
      </c>
      <c r="C18" s="5"/>
      <c r="D18" s="5"/>
    </row>
    <row r="19" ht="26" customHeight="1" spans="1:4">
      <c r="A19" s="5" t="s">
        <v>84</v>
      </c>
      <c r="B19" s="8">
        <v>832</v>
      </c>
      <c r="C19" s="5"/>
      <c r="D19" s="5"/>
    </row>
    <row r="20" ht="26" customHeight="1" spans="1:4">
      <c r="A20" s="5" t="s">
        <v>85</v>
      </c>
      <c r="B20" s="8">
        <v>180</v>
      </c>
      <c r="C20" s="5"/>
      <c r="D20" s="5"/>
    </row>
    <row r="21" ht="26" customHeight="1" spans="1:4">
      <c r="A21" s="5" t="s">
        <v>86</v>
      </c>
      <c r="B21" s="9">
        <f>B20/B19</f>
        <v>0.216346153846154</v>
      </c>
      <c r="C21" s="5"/>
      <c r="D21" s="5"/>
    </row>
    <row r="22" ht="26" customHeight="1" spans="1:4">
      <c r="A22" s="5" t="s">
        <v>87</v>
      </c>
      <c r="B22" s="6" t="s">
        <v>88</v>
      </c>
      <c r="C22" s="5"/>
      <c r="D22" s="5"/>
    </row>
    <row r="23" ht="26" customHeight="1" spans="1:4">
      <c r="A23" s="5" t="s">
        <v>89</v>
      </c>
      <c r="B23" s="6" t="s">
        <v>90</v>
      </c>
      <c r="C23" s="5"/>
      <c r="D23" s="5"/>
    </row>
    <row r="24" ht="26" customHeight="1" spans="1:4">
      <c r="A24" s="5" t="s">
        <v>91</v>
      </c>
      <c r="B24" s="6" t="s">
        <v>92</v>
      </c>
      <c r="C24" s="5"/>
      <c r="D24" s="5"/>
    </row>
    <row r="25" ht="26" customHeight="1" spans="1:4">
      <c r="A25" s="5" t="s">
        <v>93</v>
      </c>
      <c r="B25" s="6" t="s">
        <v>94</v>
      </c>
      <c r="C25" s="5"/>
      <c r="D25" s="5"/>
    </row>
    <row r="26" ht="26" customHeight="1" spans="1:4">
      <c r="A26" s="5" t="s">
        <v>95</v>
      </c>
      <c r="B26" s="8">
        <v>5</v>
      </c>
      <c r="C26" s="5"/>
      <c r="D26" s="5"/>
    </row>
    <row r="27" ht="26" customHeight="1" spans="1:4">
      <c r="A27" s="5" t="s">
        <v>96</v>
      </c>
      <c r="B27" s="6" t="s">
        <v>97</v>
      </c>
      <c r="C27" s="5"/>
      <c r="D27" s="5"/>
    </row>
    <row r="28" ht="40" customHeight="1" spans="1:4">
      <c r="A28" s="5" t="s">
        <v>98</v>
      </c>
      <c r="B28" s="6" t="s">
        <v>99</v>
      </c>
      <c r="C28" s="5"/>
      <c r="D28" s="5"/>
    </row>
    <row r="29" ht="40" customHeight="1" spans="1:4">
      <c r="A29" s="5" t="s">
        <v>100</v>
      </c>
      <c r="B29" s="6" t="s">
        <v>101</v>
      </c>
      <c r="C29" s="5"/>
      <c r="D29" s="5"/>
    </row>
    <row r="30" ht="26" customHeight="1" spans="1:4">
      <c r="A30" s="5"/>
      <c r="B30" s="6"/>
      <c r="C30" s="5"/>
      <c r="D30" s="5"/>
    </row>
    <row r="31" ht="26" customHeight="1" spans="1:4">
      <c r="A31" s="10" t="s">
        <v>102</v>
      </c>
      <c r="B31" s="6"/>
      <c r="C31" s="5"/>
      <c r="D31" s="5"/>
    </row>
    <row r="32" ht="26" customHeight="1" spans="1:4">
      <c r="A32" s="7" t="s">
        <v>103</v>
      </c>
      <c r="B32" s="7" t="s">
        <v>104</v>
      </c>
      <c r="C32" s="7" t="s">
        <v>105</v>
      </c>
      <c r="D32" s="5"/>
    </row>
    <row r="33" ht="26" customHeight="1" spans="1:4">
      <c r="A33" s="5" t="s">
        <v>106</v>
      </c>
      <c r="B33" s="11">
        <v>0.923076923076923</v>
      </c>
      <c r="C33" s="12">
        <v>0.0115284411618094</v>
      </c>
      <c r="D33" s="5"/>
    </row>
    <row r="34" ht="26" customHeight="1" spans="1:4">
      <c r="A34" s="5" t="s">
        <v>107</v>
      </c>
      <c r="B34" s="11">
        <v>0.939659168370825</v>
      </c>
      <c r="C34" s="12">
        <v>0.00433041305699619</v>
      </c>
      <c r="D34" s="5"/>
    </row>
    <row r="35" ht="26" customHeight="1" spans="1:4">
      <c r="A35" s="5" t="s">
        <v>108</v>
      </c>
      <c r="B35" s="11">
        <v>0.897112201602729</v>
      </c>
      <c r="C35" s="12">
        <v>0.0131057154770261</v>
      </c>
      <c r="D35" s="5"/>
    </row>
    <row r="36" ht="26" customHeight="1" spans="1:4">
      <c r="A36" s="5" t="s">
        <v>109</v>
      </c>
      <c r="B36" s="11">
        <v>0.926419698020236</v>
      </c>
      <c r="C36" s="12">
        <v>0.0103432463365108</v>
      </c>
      <c r="D36" s="5"/>
    </row>
    <row r="37" ht="26" customHeight="1" spans="1:4">
      <c r="A37" s="5" t="s">
        <v>110</v>
      </c>
      <c r="B37" s="11">
        <v>0.750974637415315</v>
      </c>
      <c r="C37" s="12">
        <v>0.0364869770221983</v>
      </c>
      <c r="D37" s="5"/>
    </row>
    <row r="38" ht="26" customHeight="1" spans="1:4">
      <c r="A38" s="5" t="s">
        <v>111</v>
      </c>
      <c r="B38" s="11">
        <v>0.968888888888889</v>
      </c>
      <c r="C38" s="12">
        <v>0.0164804410824348</v>
      </c>
      <c r="D38" s="5"/>
    </row>
    <row r="39" ht="26" customHeight="1" spans="1:4">
      <c r="A39" s="5" t="s">
        <v>112</v>
      </c>
      <c r="B39" s="11">
        <v>0.84545152995153</v>
      </c>
      <c r="C39" s="12">
        <v>0.0179938355901227</v>
      </c>
      <c r="D39" s="5"/>
    </row>
    <row r="40" ht="26" customHeight="1" spans="1:4">
      <c r="A40" s="5" t="s">
        <v>113</v>
      </c>
      <c r="B40" s="11">
        <v>0.990740633416348</v>
      </c>
      <c r="C40" s="12">
        <v>0.0047875676531257</v>
      </c>
      <c r="D40" s="5"/>
    </row>
    <row r="41" ht="26" customHeight="1" spans="1:4">
      <c r="A41" s="5" t="s">
        <v>114</v>
      </c>
      <c r="B41" s="11">
        <v>0.910429447852761</v>
      </c>
      <c r="C41" s="12">
        <v>0.0185829831053509</v>
      </c>
      <c r="D41" s="5"/>
    </row>
    <row r="42" ht="26" customHeight="1" spans="1:4">
      <c r="A42" s="5" t="s">
        <v>115</v>
      </c>
      <c r="B42" s="11">
        <v>0.948772873253928</v>
      </c>
      <c r="C42" s="12">
        <v>0.0082475332503417</v>
      </c>
      <c r="D42" s="5"/>
    </row>
    <row r="43" ht="26" customHeight="1" spans="1:4">
      <c r="A43" s="5" t="s">
        <v>116</v>
      </c>
      <c r="B43" s="11">
        <v>0.952231231376069</v>
      </c>
      <c r="C43" s="12">
        <v>0.00464563141263981</v>
      </c>
      <c r="D43" s="5"/>
    </row>
    <row r="44" ht="26" customHeight="1" spans="1:4">
      <c r="A44" s="5" t="s">
        <v>117</v>
      </c>
      <c r="B44" s="11">
        <v>0.986141785957737</v>
      </c>
      <c r="C44" s="12">
        <v>0.00137279432312929</v>
      </c>
      <c r="D44" s="5"/>
    </row>
    <row r="45" ht="26" customHeight="1" spans="1:4">
      <c r="A45" s="5" t="s">
        <v>118</v>
      </c>
      <c r="B45" s="11">
        <v>0.0525124906610195</v>
      </c>
      <c r="C45" s="12">
        <v>0.00931018154159645</v>
      </c>
      <c r="D45" s="5"/>
    </row>
    <row r="46" ht="26" customHeight="1" spans="1:4">
      <c r="A46" s="5" t="s">
        <v>119</v>
      </c>
      <c r="B46" s="11">
        <v>0.05034801563754</v>
      </c>
      <c r="C46" s="12">
        <v>0.0183846902481988</v>
      </c>
      <c r="D46" s="5"/>
    </row>
    <row r="47" ht="26" customHeight="1" spans="1:4">
      <c r="A47" s="5" t="s">
        <v>120</v>
      </c>
      <c r="B47" s="11">
        <v>0.40213680267334</v>
      </c>
      <c r="C47" s="12">
        <v>0.0915756532080791</v>
      </c>
      <c r="D47" s="5"/>
    </row>
    <row r="48" ht="26" customHeight="1" spans="1:4">
      <c r="A48" s="5"/>
      <c r="B48" s="6"/>
      <c r="C48" s="5"/>
      <c r="D48" s="5"/>
    </row>
    <row r="49" ht="52" customHeight="1" spans="1:4">
      <c r="A49" s="5" t="s">
        <v>121</v>
      </c>
      <c r="B49" s="6" t="s">
        <v>122</v>
      </c>
      <c r="C49" s="5"/>
      <c r="D49" s="5"/>
    </row>
    <row r="50" ht="26" customHeight="1" spans="1:4">
      <c r="A50" s="5"/>
      <c r="B50" s="6"/>
      <c r="C50" s="5"/>
      <c r="D50" s="5"/>
    </row>
    <row r="51" ht="26" customHeight="1" spans="1:4">
      <c r="A51" s="10" t="s">
        <v>123</v>
      </c>
      <c r="B51" s="6"/>
      <c r="C51" s="5"/>
      <c r="D51" s="5"/>
    </row>
    <row r="52" ht="26" customHeight="1" spans="1:4">
      <c r="A52" s="7" t="s">
        <v>103</v>
      </c>
      <c r="B52" s="7" t="s">
        <v>62</v>
      </c>
      <c r="C52" s="5"/>
      <c r="D52" s="5"/>
    </row>
    <row r="53" ht="26" customHeight="1" spans="1:4">
      <c r="A53" s="5" t="s">
        <v>116</v>
      </c>
      <c r="B53" s="11">
        <v>0.955803495910122</v>
      </c>
      <c r="C53" s="5"/>
      <c r="D53" s="5"/>
    </row>
    <row r="54" ht="26" customHeight="1" spans="1:4">
      <c r="A54" s="5" t="s">
        <v>117</v>
      </c>
      <c r="B54" s="11">
        <v>0.987423312883436</v>
      </c>
      <c r="C54" s="5"/>
      <c r="D54" s="5"/>
    </row>
    <row r="55" ht="26" customHeight="1" spans="1:4">
      <c r="A55" s="5" t="s">
        <v>118</v>
      </c>
      <c r="B55" s="11">
        <v>0.0467835083639682</v>
      </c>
      <c r="C55" s="5"/>
      <c r="D55" s="5"/>
    </row>
    <row r="56" ht="26" customHeight="1" spans="1:4">
      <c r="A56" s="5" t="s">
        <v>119</v>
      </c>
      <c r="B56" s="11">
        <v>0.0484008251124632</v>
      </c>
      <c r="C56" s="5"/>
      <c r="D56" s="5"/>
    </row>
    <row r="57" ht="26" customHeight="1" spans="1:4">
      <c r="A57" s="5"/>
      <c r="B57" s="6"/>
      <c r="C57" s="5"/>
      <c r="D57" s="5"/>
    </row>
    <row r="58" ht="26" customHeight="1" spans="1:4">
      <c r="A58" s="10" t="s">
        <v>124</v>
      </c>
      <c r="B58" s="6"/>
      <c r="C58" s="5"/>
      <c r="D58" s="5"/>
    </row>
    <row r="59" ht="26" customHeight="1" spans="1:4">
      <c r="A59" s="7" t="s">
        <v>125</v>
      </c>
      <c r="B59" s="7" t="s">
        <v>126</v>
      </c>
      <c r="C59" s="7" t="s">
        <v>104</v>
      </c>
      <c r="D59" s="7" t="s">
        <v>105</v>
      </c>
    </row>
    <row r="60" ht="26" customHeight="1" spans="1:4">
      <c r="A60" s="13">
        <v>1</v>
      </c>
      <c r="B60" s="6" t="s">
        <v>127</v>
      </c>
      <c r="C60" s="12">
        <v>0.287036263942718</v>
      </c>
      <c r="D60" s="12">
        <v>0.00987648592766936</v>
      </c>
    </row>
    <row r="61" ht="26" customHeight="1" spans="1:4">
      <c r="A61" s="13">
        <v>1</v>
      </c>
      <c r="B61" s="6" t="s">
        <v>128</v>
      </c>
      <c r="C61" s="12">
        <v>0.457532268762589</v>
      </c>
      <c r="D61" s="12">
        <v>0.0117297401438326</v>
      </c>
    </row>
    <row r="62" ht="26" customHeight="1" spans="1:4">
      <c r="A62" s="13">
        <v>1</v>
      </c>
      <c r="B62" s="6" t="s">
        <v>129</v>
      </c>
      <c r="C62" s="12">
        <v>0.255431434512138</v>
      </c>
      <c r="D62" s="12">
        <v>0.00731706746676655</v>
      </c>
    </row>
    <row r="63" ht="26" customHeight="1" spans="1:4">
      <c r="A63" s="13">
        <v>2</v>
      </c>
      <c r="B63" s="6" t="s">
        <v>127</v>
      </c>
      <c r="C63" s="12">
        <v>0.266211658716202</v>
      </c>
      <c r="D63" s="12">
        <v>0.0388173093968794</v>
      </c>
    </row>
    <row r="64" ht="26" customHeight="1" spans="1:4">
      <c r="A64" s="13">
        <v>2</v>
      </c>
      <c r="B64" s="6" t="s">
        <v>128</v>
      </c>
      <c r="C64" s="12">
        <v>0.503242874145508</v>
      </c>
      <c r="D64" s="12">
        <v>0.0505414308425942</v>
      </c>
    </row>
    <row r="65" ht="26" customHeight="1" spans="1:4">
      <c r="A65" s="13">
        <v>2</v>
      </c>
      <c r="B65" s="6" t="s">
        <v>129</v>
      </c>
      <c r="C65" s="12">
        <v>0.230545476078987</v>
      </c>
      <c r="D65" s="12">
        <v>0.0130364932092504</v>
      </c>
    </row>
    <row r="66" ht="26" customHeight="1" spans="1:4">
      <c r="A66" s="5"/>
      <c r="B66" s="6"/>
      <c r="C66" s="5"/>
      <c r="D66" s="5"/>
    </row>
    <row r="67" ht="62" customHeight="1" spans="1:4">
      <c r="A67" s="5" t="s">
        <v>130</v>
      </c>
      <c r="B67" s="6" t="s">
        <v>131</v>
      </c>
      <c r="C67" s="5"/>
      <c r="D67" s="5"/>
    </row>
    <row r="68" ht="26" customHeight="1" spans="1:4">
      <c r="A68" s="5"/>
      <c r="B68" s="6"/>
      <c r="C68" s="5"/>
      <c r="D68" s="5"/>
    </row>
    <row r="69" ht="26" customHeight="1" spans="1:4">
      <c r="A69" s="10" t="s">
        <v>132</v>
      </c>
      <c r="B69" s="6"/>
      <c r="C69" s="5"/>
      <c r="D69" s="5"/>
    </row>
    <row r="70" ht="26" customHeight="1" spans="1:4">
      <c r="A70" s="5" t="s">
        <v>133</v>
      </c>
      <c r="B70" s="6" t="s">
        <v>134</v>
      </c>
      <c r="C70" s="5"/>
      <c r="D70" s="5"/>
    </row>
    <row r="71" ht="38" customHeight="1" spans="1:4">
      <c r="A71" s="5" t="s">
        <v>135</v>
      </c>
      <c r="B71" s="6" t="s">
        <v>136</v>
      </c>
      <c r="C71" s="5"/>
      <c r="D71" s="5"/>
    </row>
    <row r="72" ht="38" customHeight="1" spans="1:4">
      <c r="A72" s="5" t="s">
        <v>137</v>
      </c>
      <c r="B72" s="6" t="s">
        <v>138</v>
      </c>
      <c r="C72" s="5"/>
      <c r="D72" s="5"/>
    </row>
    <row r="73" ht="38" customHeight="1" spans="1:4">
      <c r="A73" s="5" t="s">
        <v>139</v>
      </c>
      <c r="B73" s="6" t="s">
        <v>140</v>
      </c>
      <c r="C73" s="5"/>
      <c r="D73" s="5"/>
    </row>
    <row r="74" ht="38" customHeight="1" spans="1:4">
      <c r="A74" s="5" t="s">
        <v>141</v>
      </c>
      <c r="B74" s="6" t="s">
        <v>142</v>
      </c>
      <c r="C74" s="5"/>
      <c r="D74" s="5"/>
    </row>
    <row r="75" ht="38" customHeight="1" spans="1:4">
      <c r="A75" s="5" t="s">
        <v>143</v>
      </c>
      <c r="B75" s="6" t="s">
        <v>144</v>
      </c>
      <c r="C75" s="5"/>
      <c r="D75" s="5"/>
    </row>
    <row r="76" ht="38" customHeight="1" spans="1:4">
      <c r="A76" s="5" t="s">
        <v>145</v>
      </c>
      <c r="B76" s="6" t="s">
        <v>146</v>
      </c>
      <c r="C76" s="5"/>
      <c r="D76" s="5"/>
    </row>
    <row r="77" ht="46" customHeight="1" spans="1:4">
      <c r="A77" s="5" t="s">
        <v>147</v>
      </c>
      <c r="B77" s="6" t="s">
        <v>148</v>
      </c>
      <c r="C77" s="5"/>
      <c r="D77" s="5"/>
    </row>
    <row r="78" ht="26" customHeight="1" spans="1:4">
      <c r="A78" s="5"/>
      <c r="B78" s="6"/>
      <c r="C78" s="5"/>
      <c r="D78" s="5"/>
    </row>
    <row r="79" ht="26" customHeight="1" spans="1:4">
      <c r="A79" s="5"/>
      <c r="B79" s="6"/>
      <c r="C79" s="5"/>
      <c r="D7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Features</vt:lpstr>
      <vt:lpstr>Performance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Lianyan Li</cp:lastModifiedBy>
  <dcterms:created xsi:type="dcterms:W3CDTF">2026-10-13T08:18:00Z</dcterms:created>
  <dcterms:modified xsi:type="dcterms:W3CDTF">2026-10-26T02:46:54Z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66EDBCB97C9D46058E4EBFBD1CCDA3E7_13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